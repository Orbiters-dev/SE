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 단가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FFFFFF"/>
      <sz val="11"/>
    </font>
    <font>
      <color rgb="00595959"/>
      <sz val="9"/>
    </font>
    <font/>
    <font>
      <b val="1"/>
      <color rgb="007F7F7F"/>
    </font>
    <font>
      <b val="1"/>
    </font>
    <font>
      <b val="1"/>
      <color rgb="001F3864"/>
      <sz val="11"/>
    </font>
    <font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1" t="inlineStr">
        <is>
          <t>제품별 단가(원가) 계산  —  グロミミ</t>
        </is>
      </c>
    </row>
    <row r="2">
      <c r="A2" s="2" t="inlineStr">
        <is>
          <t>노란 칸만 채우면 됩니다 (제품 1개 기준).  파란 칸 = 자동 계산.  금액 단위: 円(JPY)</t>
        </is>
      </c>
    </row>
    <row r="4" ht="22" customHeight="1">
      <c r="A4" s="3" t="inlineStr"/>
      <c r="B4" s="3" t="inlineStr">
        <is>
          <t>항목</t>
        </is>
      </c>
      <c r="C4" s="3" t="inlineStr">
        <is>
          <t>PPSU 기본컵</t>
        </is>
      </c>
      <c r="D4" s="3" t="inlineStr">
        <is>
          <t>Stainless 컵</t>
        </is>
      </c>
      <c r="E4" s="3" t="inlineStr">
        <is>
          <t>비고 / 어디서 구하나</t>
        </is>
      </c>
    </row>
    <row r="5" ht="20" customHeight="1">
      <c r="A5" s="4" t="n"/>
      <c r="B5" s="5" t="inlineStr">
        <is>
          <t>판매가 (税込)</t>
        </is>
      </c>
      <c r="C5" s="6" t="n"/>
      <c r="D5" s="6" t="n"/>
      <c r="E5" s="7" t="inlineStr">
        <is>
          <t>라쿠텐 판매 정가</t>
        </is>
      </c>
    </row>
    <row r="6" ht="20" customHeight="1">
      <c r="A6" s="4" t="n"/>
      <c r="B6" s="5" t="inlineStr">
        <is>
          <t>제품 원가 (COGS)</t>
        </is>
      </c>
      <c r="C6" s="6" t="n"/>
      <c r="D6" s="6" t="n"/>
      <c r="E6" s="7" t="inlineStr">
        <is>
          <t>제조원가 1개당 (있으면)</t>
        </is>
      </c>
    </row>
    <row r="7" ht="20" customHeight="1">
      <c r="A7" s="8" t="n"/>
      <c r="B7" s="9" t="inlineStr">
        <is>
          <t>─ 빠지는 비용 ─</t>
        </is>
      </c>
      <c r="C7" s="10" t="n"/>
      <c r="D7" s="10" t="n"/>
      <c r="E7" s="11" t="inlineStr"/>
    </row>
    <row r="8" ht="20" customHeight="1">
      <c r="A8" s="4" t="n"/>
      <c r="B8" s="5" t="inlineStr">
        <is>
          <t>1) Logistics 비용</t>
        </is>
      </c>
      <c r="C8" s="6" t="n"/>
      <c r="D8" s="6" t="n"/>
      <c r="E8" s="7" t="inlineStr">
        <is>
          <t>한국→일본 수입 운송·통관비 ÷ 수량</t>
        </is>
      </c>
    </row>
    <row r="9" ht="20" customHeight="1">
      <c r="A9" s="4" t="n"/>
      <c r="B9" s="5" t="inlineStr">
        <is>
          <t>2) 라쿠텐 수수료율 (%)</t>
        </is>
      </c>
      <c r="C9" s="6" t="n"/>
      <c r="D9" s="6" t="n"/>
      <c r="E9" s="7" t="inlineStr">
        <is>
          <t>RMS 플랜 합산 % (예: 10 → 10%). 시스템이용료+포인트+결제</t>
        </is>
      </c>
    </row>
    <row r="10" ht="20" customHeight="1">
      <c r="A10" s="4" t="n"/>
      <c r="B10" s="5" t="inlineStr">
        <is>
          <t xml:space="preserve">   └ 라쿠텐 수수료액</t>
        </is>
      </c>
      <c r="C10" s="12">
        <f>C5*C9/100</f>
        <v/>
      </c>
      <c r="D10" s="12">
        <f>D5*D9/100</f>
        <v/>
      </c>
      <c r="E10" s="7">
        <f> 판매가 × 수수료율 (자동)</f>
        <v/>
      </c>
    </row>
    <row r="11" ht="20" customHeight="1">
      <c r="A11" s="4" t="n"/>
      <c r="B11" s="5" t="inlineStr">
        <is>
          <t>3) 라쿠텐 물류비 (RSL)</t>
        </is>
      </c>
      <c r="C11" s="6" t="n"/>
      <c r="D11" s="6" t="n"/>
      <c r="E11" s="7" t="inlineStr">
        <is>
          <t>RSL 출고 1건당 기본 대행비</t>
        </is>
      </c>
    </row>
    <row r="12" ht="20" customHeight="1">
      <c r="A12" s="4" t="n"/>
      <c r="B12" s="5" t="inlineStr">
        <is>
          <t>4) 제품별 픽업비용</t>
        </is>
      </c>
      <c r="C12" s="6" t="n"/>
      <c r="D12" s="6" t="n"/>
      <c r="E12" s="7" t="inlineStr">
        <is>
          <t>RSL 사이즈별 피킹료 (제품마다 다름)</t>
        </is>
      </c>
    </row>
    <row r="13" ht="20" customHeight="1">
      <c r="A13" s="8" t="n"/>
      <c r="B13" s="9" t="inlineStr">
        <is>
          <t>─ 결과 ─</t>
        </is>
      </c>
      <c r="C13" s="10" t="n"/>
      <c r="D13" s="10" t="n"/>
      <c r="E13" s="11" t="inlineStr"/>
    </row>
    <row r="14" ht="20" customHeight="1">
      <c r="A14" s="4" t="n"/>
      <c r="B14" s="13" t="inlineStr">
        <is>
          <t>총 비용</t>
        </is>
      </c>
      <c r="C14" s="14">
        <f>SUM(C6,C8,C10,C11,C12)</f>
        <v/>
      </c>
      <c r="D14" s="14">
        <f>SUM(D6,D8,D10,D11,D12)</f>
        <v/>
      </c>
      <c r="E14" s="7">
        <f> 원가+1)+2)+3)+4)</f>
        <v/>
      </c>
    </row>
    <row r="15" ht="20" customHeight="1">
      <c r="A15" s="4" t="n"/>
      <c r="B15" s="13" t="inlineStr">
        <is>
          <t>순이익 (1개당)</t>
        </is>
      </c>
      <c r="C15" s="14">
        <f>C5-C14</f>
        <v/>
      </c>
      <c r="D15" s="14">
        <f>D5-D14</f>
        <v/>
      </c>
      <c r="E15" s="7">
        <f> 판매가 − 총비용</f>
        <v/>
      </c>
    </row>
    <row r="16" ht="20" customHeight="1">
      <c r="A16" s="4" t="n"/>
      <c r="B16" s="13" t="inlineStr">
        <is>
          <t>마진율</t>
        </is>
      </c>
      <c r="C16" s="15">
        <f>IF(C5=0,0,C15/C5)</f>
        <v/>
      </c>
      <c r="D16" s="15">
        <f>IF(D5=0,0,D15/D5)</f>
        <v/>
      </c>
      <c r="E16" s="7">
        <f> 순이익 ÷ 판매가</f>
        <v/>
      </c>
    </row>
    <row r="18">
      <c r="A18" s="16" t="inlineStr">
        <is>
          <t>📌 입력 가이드</t>
        </is>
      </c>
    </row>
    <row r="19" ht="16" customHeight="1">
      <c r="A19" s="17" t="inlineStr">
        <is>
          <t>1) Logistics 비용  : 한국→일본 들여온 박스 운송·통관비를 들여온 수량으로 나눈 1개당 금액.</t>
        </is>
      </c>
    </row>
    <row r="20" ht="16" customHeight="1">
      <c r="A20" s="17" t="inlineStr">
        <is>
          <t>2) 라쿠텐 수수료율 : RMS 계약 플랜의 합산 %를 숫자로만 입력 (예: 10.5). 정확치 모르면 RMS 청구서 확인.</t>
        </is>
      </c>
    </row>
    <row r="21" ht="16" customHeight="1">
      <c r="A21" s="17" t="inlineStr">
        <is>
          <t>3) 라쿠텐 물류비   : RSL(라쿠텐 창고대행) 출고 1건당 기본료. RMS &gt; RSL 요금 / 청구 명세.</t>
        </is>
      </c>
    </row>
    <row r="22" ht="16" customHeight="1">
      <c r="A22" s="17" t="inlineStr">
        <is>
          <t>4) 제품별 픽업비용 : RSL 사이즈별 피킹료. PPSU컵과 Stainless컵 사이즈가 다르면 값도 다름.</t>
        </is>
      </c>
    </row>
    <row r="23" ht="16" customHeight="1">
      <c r="A23" s="17" t="inlineStr">
        <is>
          <t>※ 픽업비용·물류비를 모르면 RMS 청구내역에서 찾아주거나, 물류업체 요금표를 받아 넣으면 됨.</t>
        </is>
      </c>
    </row>
  </sheetData>
  <mergeCells count="8">
    <mergeCell ref="A21:E21"/>
    <mergeCell ref="A20:E20"/>
    <mergeCell ref="A2:E2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2026-06-15T00:43:34Z</dcterms:created>
  <dcterms:modified xmlns:dcterms="http://purl.org/dc/terms/" xmlns:xsi="http://www.w3.org/2001/XMLSchema-instance" xsi:type="dcterms:W3CDTF">2026-06-15T00:43:34Z</dcterms:modified>
</cp:coreProperties>
</file>
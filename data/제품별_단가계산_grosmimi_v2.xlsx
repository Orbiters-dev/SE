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 단가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808080"/>
      <sz val="9"/>
    </font>
    <font>
      <b val="1"/>
      <color rgb="00FFFFFF"/>
      <sz val="11"/>
    </font>
    <font>
      <color rgb="00595959"/>
      <sz val="9"/>
    </font>
    <font/>
    <font>
      <b val="1"/>
      <color rgb="007F7F7F"/>
    </font>
    <font>
      <b val="1"/>
    </font>
    <font>
      <b val="1"/>
      <color rgb="001F3864"/>
      <sz val="11"/>
    </font>
    <font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42" customWidth="1" min="5" max="5"/>
  </cols>
  <sheetData>
    <row r="1" ht="28" customHeight="1">
      <c r="A1" s="1" t="inlineStr">
        <is>
          <t>제품별 단가(원가) 계산  —  グロミミ</t>
        </is>
      </c>
    </row>
    <row r="2">
      <c r="A2" s="2" t="inlineStr">
        <is>
          <t>노란 칸만 채우면 됩니다 (제품 1개 기준).  파란 칸 = 자동 계산.  금액 단위: 円(JPY)</t>
        </is>
      </c>
    </row>
    <row r="4" ht="22" customHeight="1">
      <c r="A4" s="3" t="inlineStr"/>
      <c r="B4" s="3" t="inlineStr">
        <is>
          <t>항목</t>
        </is>
      </c>
      <c r="C4" s="3" t="inlineStr">
        <is>
          <t>PPSU 기본컵</t>
        </is>
      </c>
      <c r="D4" s="3" t="inlineStr">
        <is>
          <t>Stainless 컵</t>
        </is>
      </c>
      <c r="E4" s="3" t="inlineStr">
        <is>
          <t>비고 / 어디서 구하나</t>
        </is>
      </c>
    </row>
    <row r="5" ht="20" customHeight="1">
      <c r="A5" s="4" t="n"/>
      <c r="B5" s="5" t="inlineStr">
        <is>
          <t>판매가 (税込)</t>
        </is>
      </c>
      <c r="C5" s="6" t="n"/>
      <c r="D5" s="6" t="n"/>
      <c r="E5" s="7" t="inlineStr">
        <is>
          <t>라쿠텐 판매 정가</t>
        </is>
      </c>
    </row>
    <row r="6" ht="20" customHeight="1">
      <c r="A6" s="8" t="n"/>
      <c r="B6" s="9" t="inlineStr">
        <is>
          <t>─ 제품 원가 구성 (COGS) ─</t>
        </is>
      </c>
      <c r="C6" s="10" t="n"/>
      <c r="D6" s="10" t="n"/>
      <c r="E6" s="11" t="inlineStr"/>
    </row>
    <row r="7" ht="20" customHeight="1">
      <c r="A7" s="4" t="n"/>
      <c r="B7" s="5" t="inlineStr">
        <is>
          <t>1) Logistics 비용</t>
        </is>
      </c>
      <c r="C7" s="6" t="n"/>
      <c r="D7" s="6" t="n"/>
      <c r="E7" s="7" t="inlineStr">
        <is>
          <t>한국→일본 통관+국제운송비 (카톤 ÷ 수량 = 1개당)</t>
        </is>
      </c>
    </row>
    <row r="8" ht="20" customHeight="1">
      <c r="A8" s="4" t="n"/>
      <c r="B8" s="5" t="inlineStr">
        <is>
          <t>2) 채널 수수료율 (%)</t>
        </is>
      </c>
      <c r="C8" s="6" t="n"/>
      <c r="D8" s="6" t="n"/>
      <c r="E8" s="7" t="inlineStr">
        <is>
          <t>라쿠텐 판매 수수료 % (예: 10 → 10%)</t>
        </is>
      </c>
    </row>
    <row r="9" ht="20" customHeight="1">
      <c r="A9" s="4" t="n"/>
      <c r="B9" s="5" t="inlineStr">
        <is>
          <t xml:space="preserve">   └ 채널 수수료액</t>
        </is>
      </c>
      <c r="C9" s="12">
        <f>C5*C8/100</f>
        <v/>
      </c>
      <c r="D9" s="12">
        <f>D5*D8/100</f>
        <v/>
      </c>
      <c r="E9" s="7">
        <f> 판매가 × 수수료율 (자동)</f>
        <v/>
      </c>
    </row>
    <row r="10" ht="20" customHeight="1">
      <c r="A10" s="4" t="n"/>
      <c r="B10" s="5" t="inlineStr">
        <is>
          <t>3) Shipping 비용 (RSL 배송운임)</t>
        </is>
      </c>
      <c r="C10" s="6" t="n"/>
      <c r="D10" s="6" t="n"/>
      <c r="E10" s="7" t="inlineStr">
        <is>
          <t>RSL→일본 소비자 택배 배송운임 (1건당)</t>
        </is>
      </c>
    </row>
    <row r="11" ht="20" customHeight="1">
      <c r="A11" s="4" t="n"/>
      <c r="B11" s="5" t="inlineStr">
        <is>
          <t>4) 픽업비용 = 제품 원가(COGS)</t>
        </is>
      </c>
      <c r="C11" s="6" t="n"/>
      <c r="D11" s="6" t="n"/>
      <c r="E11" s="7" t="inlineStr">
        <is>
          <t>제품 1개 자체 매입/조달 원가 (제품별 상이)</t>
        </is>
      </c>
    </row>
    <row r="12" ht="20" customHeight="1">
      <c r="A12" s="8" t="n"/>
      <c r="B12" s="9" t="inlineStr">
        <is>
          <t>─ 결과 ─</t>
        </is>
      </c>
      <c r="C12" s="10" t="n"/>
      <c r="D12" s="10" t="n"/>
      <c r="E12" s="11" t="inlineStr"/>
    </row>
    <row r="13" ht="20" customHeight="1">
      <c r="A13" s="4" t="n"/>
      <c r="B13" s="13" t="inlineStr">
        <is>
          <t>총 비용 (제품 1개 원가)</t>
        </is>
      </c>
      <c r="C13" s="14">
        <f>SUM(C7,C9,C10,C11)</f>
        <v/>
      </c>
      <c r="D13" s="14">
        <f>SUM(D7,D9,D10,D11)</f>
        <v/>
      </c>
      <c r="E13" s="7">
        <f> 1)+2)+3)+4)</f>
        <v/>
      </c>
    </row>
    <row r="14" ht="20" customHeight="1">
      <c r="A14" s="4" t="n"/>
      <c r="B14" s="13" t="inlineStr">
        <is>
          <t>순이익 (1개당)</t>
        </is>
      </c>
      <c r="C14" s="14">
        <f>C5-C13</f>
        <v/>
      </c>
      <c r="D14" s="14">
        <f>D5-D13</f>
        <v/>
      </c>
      <c r="E14" s="7">
        <f> 판매가 − 총비용</f>
        <v/>
      </c>
    </row>
    <row r="15" ht="20" customHeight="1">
      <c r="A15" s="4" t="n"/>
      <c r="B15" s="13" t="inlineStr">
        <is>
          <t>마진율</t>
        </is>
      </c>
      <c r="C15" s="15">
        <f>IF(C5=0,0,C14/C5)</f>
        <v/>
      </c>
      <c r="D15" s="15">
        <f>IF(D5=0,0,D14/D5)</f>
        <v/>
      </c>
      <c r="E15" s="7">
        <f> 순이익 ÷ 판매가</f>
        <v/>
      </c>
    </row>
    <row r="17">
      <c r="A17" s="16" t="inlineStr">
        <is>
          <t>📌 입력 가이드</t>
        </is>
      </c>
    </row>
    <row r="18" ht="16" customHeight="1">
      <c r="A18" s="17" t="inlineStr">
        <is>
          <t>1) Logistics 비용 : 한국→일본 통관+국제운송비. 카톤(박스) 총비용 ÷ 카톤당 제품 수 = 1개당 금액.</t>
        </is>
      </c>
    </row>
    <row r="19" ht="16" customHeight="1">
      <c r="A19" s="17" t="inlineStr">
        <is>
          <t>2) 채널 수수료율  : 라쿠텐 판매 수수료 %를 숫자로 입력 (예: 10.5). RMS 청구서 기준.</t>
        </is>
      </c>
    </row>
    <row r="20" ht="16" customHeight="1">
      <c r="A20" s="17" t="inlineStr">
        <is>
          <t>3) Shipping 비용  : RSL이 일본 소비자에게 보내는 택배 배송운임 (출고 1건당).</t>
        </is>
      </c>
    </row>
    <row r="21" ht="16" customHeight="1">
      <c r="A21" s="17" t="inlineStr">
        <is>
          <t>4) 픽업비용(COGS) : 제품 1개 자체 매입/조달 원가. PPSU컵·Stainless컵 제품마다 다름.</t>
        </is>
      </c>
    </row>
    <row r="22" ht="16" customHeight="1">
      <c r="A22" s="17" t="inlineStr">
        <is>
          <t>※ 4개 합 = 제품 1개 총원가. 판매가에서 빼면 순이익·마진율 자동 계산.</t>
        </is>
      </c>
    </row>
  </sheetData>
  <mergeCells count="8">
    <mergeCell ref="A21:E21"/>
    <mergeCell ref="A20:E20"/>
    <mergeCell ref="A2:E2"/>
    <mergeCell ref="A19:E19"/>
    <mergeCell ref="A1:E1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2026-06-15T02:08:44Z</dcterms:created>
  <dcterms:modified xmlns:dcterms="http://purl.org/dc/terms/" xmlns:xsi="http://www.w3.org/2001/XMLSchema-instance" xsi:type="dcterms:W3CDTF">2026-06-15T02:08:44Z</dcterms:modified>
</cp:coreProperties>
</file>